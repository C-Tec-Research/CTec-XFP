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.bartleet\Documents\Dev\XFP\XFP Files\Documents\"/>
    </mc:Choice>
  </mc:AlternateContent>
  <xr:revisionPtr revIDLastSave="0" documentId="13_ncr:1_{DC9E14CA-DBC4-4B3B-8623-C73EAE475B93}" xr6:coauthVersionLast="47" xr6:coauthVersionMax="47" xr10:uidLastSave="{00000000-0000-0000-0000-000000000000}"/>
  <bookViews>
    <workbookView xWindow="-109" yWindow="-109" windowWidth="26301" windowHeight="14889" xr2:uid="{8328E981-A325-42DC-BAD4-EB248FB65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<sst xmlns="http://schemas.openxmlformats.org/spreadsheetml/2006/main" count="239" uniqueCount="55">
  <si>
    <t>Family</t>
  </si>
  <si>
    <t>What is it?</t>
  </si>
  <si>
    <t>CAST PRO</t>
  </si>
  <si>
    <t>CAST PRO Optical Detector</t>
  </si>
  <si>
    <t>⮾</t>
  </si>
  <si>
    <t>☑</t>
  </si>
  <si>
    <t>0,1,2</t>
  </si>
  <si>
    <t>CAST PRO Heat Detector</t>
  </si>
  <si>
    <t>0,3,4,5</t>
  </si>
  <si>
    <t>CAST PRO Optical Heat Detector</t>
  </si>
  <si>
    <t>0,1,2,3,4,5,6,7,8</t>
  </si>
  <si>
    <t>CAST PRO Optical Heat Detector with Tone Sounder</t>
  </si>
  <si>
    <t>☑ - Tone</t>
  </si>
  <si>
    <t>CAST PRO Optical Heat Detector with Voice Sounder</t>
  </si>
  <si>
    <t>☑ - Voice</t>
  </si>
  <si>
    <t>CAST PRO Optical Heat Detector with Tone Sounder with VAD</t>
  </si>
  <si>
    <t>CAST PRO Optical Heat Detector with Voice Sounder with VAD</t>
  </si>
  <si>
    <t>CAST PRO Optical Heat CO Detector</t>
  </si>
  <si>
    <t>0,1,2,3,4,5,6,7,8,9,10,11,12</t>
  </si>
  <si>
    <t>CAST PRO Optical Heat CO Detector with Tone sounder</t>
  </si>
  <si>
    <t>CAST PRO Optical Heat CO Detector with Voice sounder</t>
  </si>
  <si>
    <t>CAST PRO Optical Heat CO Detector with Tone sounder with VAD</t>
  </si>
  <si>
    <t>CAST PRO Optical Heat CO Detector with Voice sounder with VAD</t>
  </si>
  <si>
    <t>CAST PRO Optical Detector with Tone Sounder</t>
  </si>
  <si>
    <t>CAST PRO Optical Detector with Voice Sounder</t>
  </si>
  <si>
    <t>CAST PRO Optical Detector with Tone Sounder with VAD</t>
  </si>
  <si>
    <t>CAST PRO Optical Detector with Voice Sounder with VAD</t>
  </si>
  <si>
    <t>CAST PRO Heat Detector with Tone Sounder</t>
  </si>
  <si>
    <t>CAST PRO Heat Detector with Voice Sounder</t>
  </si>
  <si>
    <t>CAST PRO Heat Detector with Tone Sounder with VAD</t>
  </si>
  <si>
    <t>CAST PRO Heat Detector with Voice Sounder with VAD</t>
  </si>
  <si>
    <t>CAST PRO Tone Sounder</t>
  </si>
  <si>
    <t>CAST PRO VAD</t>
  </si>
  <si>
    <t>CAST PRO Tone Sounder with VAD</t>
  </si>
  <si>
    <t>CAST PRO Voice Sounder</t>
  </si>
  <si>
    <t>CAST PRO Voice Sounder with VAD</t>
  </si>
  <si>
    <t>Detector Modes are written to:-   Applicatio_Flags_2   address 0x31   49decimal</t>
  </si>
  <si>
    <t>Detector Mode '0' is written to the lower nibble</t>
  </si>
  <si>
    <t>Detector Mode '1' is written to the upper nibble</t>
  </si>
  <si>
    <t>Mode 0 effectively stops detection, though supervisory fault events are still active</t>
  </si>
  <si>
    <t>binary</t>
  </si>
  <si>
    <t>hex</t>
  </si>
  <si>
    <t>Introduced</t>
  </si>
  <si>
    <t>Sounders</t>
  </si>
  <si>
    <t>VADs</t>
  </si>
  <si>
    <t>Smoke sensor</t>
  </si>
  <si>
    <t>Heat sensor</t>
  </si>
  <si>
    <t>CO sensor</t>
  </si>
  <si>
    <t>Default mode</t>
  </si>
  <si>
    <t>Valid modes</t>
  </si>
  <si>
    <t xml:space="preserve">New </t>
  </si>
  <si>
    <t>Original</t>
  </si>
  <si>
    <t>dec</t>
  </si>
  <si>
    <t>Device type codes</t>
  </si>
  <si>
    <t>comms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</si>
</sst>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7030A0"/>
      <name val="Aptos Narrow"/>
      <family val="2"/>
    </font>
    <font>
      <sz val="12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909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right"/>
    </xf>
    <xf numFmtId="0" fontId="3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5" xfId="0" applyFont="1" applyBorder="1"/>
    <xf numFmtId="0" fontId="4" fillId="0" borderId="0" xfId="0" applyFont="1"/>
    <xf numFmtId="0" fontId="4" fillId="0" borderId="5" xfId="0" applyFont="1" applyBorder="1" applyAlignment="1">
      <alignment horizontal="right"/>
    </xf>
    <xf numFmtId="0" fontId="5" fillId="0" borderId="5" xfId="0" applyFont="1" applyBorder="1"/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1" fillId="0" borderId="10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0" fillId="0" borderId="5" xfId="0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CF66-E529-4A9F-B128-3740D8D12279}">
  <sheetPr>
    <pageSetUpPr fitToPage="1"/>
  </sheetPr>
  <dimension ref="A1:S33"/>
  <sheetViews>
    <sheetView tabSelected="1" zoomScaleNormal="100" zoomScaleSheetLayoutView="85" workbookViewId="0">
      <selection activeCell="H28" sqref="H28"/>
    </sheetView>
  </sheetViews>
  <sheetFormatPr defaultRowHeight="14.3" x14ac:dyDescent="0.25"/>
  <cols>
    <col min="1" max="1" width="10.25" bestFit="1" customWidth="1"/>
    <col min="2" max="2" width="1.25" customWidth="1"/>
    <col min="3" max="3" width="53.75" customWidth="1"/>
    <col min="4" max="4" width="1.375" customWidth="1"/>
    <col min="5" max="5" width="7.5" bestFit="1" customWidth="1"/>
    <col min="6" max="6" width="6.75" customWidth="1"/>
    <col min="7" max="7" width="14.75" bestFit="1" customWidth="1"/>
    <col min="8" max="8" width="6.75" customWidth="1"/>
    <col min="9" max="9" width="1.375" customWidth="1"/>
    <col min="10" max="10" width="9.625" bestFit="1" customWidth="1"/>
    <col min="11" max="11" width="1.375" customWidth="1"/>
    <col min="12" max="12" width="8.625" customWidth="1"/>
    <col min="13" max="13" width="5.625" customWidth="1"/>
    <col min="14" max="14" width="7.25" customWidth="1"/>
    <col min="15" max="16" width="6.5" customWidth="1"/>
    <col min="17" max="17" width="1.25" customWidth="1"/>
    <col min="18" max="18" width="7" customWidth="1"/>
    <col min="19" max="19" width="23.75" customWidth="1"/>
    <col min="20" max="20" width="4.75" customWidth="1"/>
    <col min="21" max="21" width="5" customWidth="1"/>
  </cols>
  <sheetData>
    <row r="1" spans="1:19" ht="16.3" customHeight="1" thickBot="1" x14ac:dyDescent="0.3">
      <c r="A1" s="27" t="s">
        <v>0</v>
      </c>
      <c r="C1" s="27" t="s">
        <v>1</v>
      </c>
      <c r="D1" s="1"/>
      <c r="E1" s="29" t="s">
        <v>53</v>
      </c>
      <c r="F1" s="30"/>
      <c r="G1" s="30"/>
      <c r="H1" s="31"/>
      <c r="J1" s="27" t="s">
        <v>42</v>
      </c>
      <c r="L1" s="27" t="s">
        <v>43</v>
      </c>
      <c r="M1" s="27" t="s">
        <v>44</v>
      </c>
      <c r="N1" s="27" t="s">
        <v>45</v>
      </c>
      <c r="O1" s="27" t="s">
        <v>46</v>
      </c>
      <c r="P1" s="27" t="s">
        <v>47</v>
      </c>
      <c r="R1" s="27" t="s">
        <v>48</v>
      </c>
      <c r="S1" s="27" t="s">
        <v>49</v>
      </c>
    </row>
    <row r="2" spans="1:19" s="2" customFormat="1" ht="16.3" customHeight="1" thickBot="1" x14ac:dyDescent="0.3">
      <c r="A2" s="28"/>
      <c r="B2" s="1"/>
      <c r="C2" s="28"/>
      <c r="D2" s="1"/>
      <c r="E2" s="24" t="s">
        <v>52</v>
      </c>
      <c r="F2" s="24" t="s">
        <v>41</v>
      </c>
      <c r="G2" s="24" t="s">
        <v>40</v>
      </c>
      <c r="H2" s="25" t="s">
        <v>54</v>
      </c>
      <c r="I2" s="1"/>
      <c r="J2" s="28"/>
      <c r="K2" s="1"/>
      <c r="L2" s="28"/>
      <c r="M2" s="28"/>
      <c r="N2" s="28"/>
      <c r="O2" s="28"/>
      <c r="P2" s="28"/>
      <c r="Q2" s="1"/>
      <c r="R2" s="28"/>
      <c r="S2" s="28"/>
    </row>
    <row r="3" spans="1:19" ht="16.3" x14ac:dyDescent="0.25">
      <c r="A3" s="3" t="s">
        <v>2</v>
      </c>
      <c r="C3" s="3" t="s">
        <v>3</v>
      </c>
      <c r="E3" s="3">
        <v>512</v>
      </c>
      <c r="F3" s="4" t="str">
        <f t="shared" ref="F3:F27" si="0">"0x"&amp;DEC2HEX(E3,3)</f>
        <v>0x200</v>
      </c>
      <c r="G3" s="3" t="str">
        <f t="shared" ref="G3:G27" si="1">"0b"&amp;_xlfn.BASE(E3,2,10)</f>
        <v>0b1000000000</v>
      </c>
      <c r="H3" s="26">
        <v>161</v>
      </c>
      <c r="J3" s="3" t="s">
        <v>51</v>
      </c>
      <c r="L3" s="5" t="s">
        <v>4</v>
      </c>
      <c r="M3" s="5" t="s">
        <v>4</v>
      </c>
      <c r="N3" s="6" t="s">
        <v>5</v>
      </c>
      <c r="O3" s="5" t="s">
        <v>4</v>
      </c>
      <c r="P3" s="5" t="s">
        <v>4</v>
      </c>
      <c r="R3" s="7">
        <v>2</v>
      </c>
      <c r="S3" s="7" t="s">
        <v>6</v>
      </c>
    </row>
    <row r="4" spans="1:19" ht="16.3" x14ac:dyDescent="0.25">
      <c r="A4" s="3" t="s">
        <v>2</v>
      </c>
      <c r="C4" s="3" t="s">
        <v>7</v>
      </c>
      <c r="E4" s="3">
        <v>513</v>
      </c>
      <c r="F4" s="4" t="str">
        <f t="shared" si="0"/>
        <v>0x201</v>
      </c>
      <c r="G4" s="3" t="str">
        <f t="shared" si="1"/>
        <v>0b1000000001</v>
      </c>
      <c r="H4" s="3">
        <v>193</v>
      </c>
      <c r="J4" s="3" t="s">
        <v>51</v>
      </c>
      <c r="L4" s="5" t="s">
        <v>4</v>
      </c>
      <c r="M4" s="5" t="s">
        <v>4</v>
      </c>
      <c r="N4" s="5" t="s">
        <v>4</v>
      </c>
      <c r="O4" s="6" t="s">
        <v>5</v>
      </c>
      <c r="P4" s="5" t="s">
        <v>4</v>
      </c>
      <c r="R4" s="7">
        <v>4</v>
      </c>
      <c r="S4" s="7" t="s">
        <v>8</v>
      </c>
    </row>
    <row r="5" spans="1:19" ht="16.3" x14ac:dyDescent="0.25">
      <c r="A5" s="3" t="s">
        <v>2</v>
      </c>
      <c r="C5" s="3" t="s">
        <v>9</v>
      </c>
      <c r="E5" s="3">
        <v>514</v>
      </c>
      <c r="F5" s="4" t="str">
        <f t="shared" si="0"/>
        <v>0x202</v>
      </c>
      <c r="G5" s="3" t="str">
        <f t="shared" si="1"/>
        <v>0b1000000010</v>
      </c>
      <c r="H5" s="3">
        <v>185</v>
      </c>
      <c r="J5" s="3" t="s">
        <v>51</v>
      </c>
      <c r="L5" s="5" t="s">
        <v>4</v>
      </c>
      <c r="M5" s="5" t="s">
        <v>4</v>
      </c>
      <c r="N5" s="6" t="s">
        <v>5</v>
      </c>
      <c r="O5" s="6" t="s">
        <v>5</v>
      </c>
      <c r="P5" s="5" t="s">
        <v>4</v>
      </c>
      <c r="R5" s="7">
        <v>7</v>
      </c>
      <c r="S5" s="7" t="s">
        <v>10</v>
      </c>
    </row>
    <row r="6" spans="1:19" ht="16.3" x14ac:dyDescent="0.25">
      <c r="A6" s="3" t="s">
        <v>2</v>
      </c>
      <c r="C6" s="3" t="s">
        <v>11</v>
      </c>
      <c r="E6" s="3">
        <v>515</v>
      </c>
      <c r="F6" s="4" t="str">
        <f t="shared" si="0"/>
        <v>0x203</v>
      </c>
      <c r="G6" s="3" t="str">
        <f t="shared" si="1"/>
        <v>0b1000000011</v>
      </c>
      <c r="H6" s="3">
        <v>186</v>
      </c>
      <c r="J6" s="3" t="s">
        <v>51</v>
      </c>
      <c r="L6" s="6" t="s">
        <v>12</v>
      </c>
      <c r="M6" s="5" t="s">
        <v>4</v>
      </c>
      <c r="N6" s="6" t="s">
        <v>5</v>
      </c>
      <c r="O6" s="6" t="s">
        <v>5</v>
      </c>
      <c r="P6" s="5" t="s">
        <v>4</v>
      </c>
      <c r="R6" s="7">
        <v>7</v>
      </c>
      <c r="S6" s="7" t="s">
        <v>10</v>
      </c>
    </row>
    <row r="7" spans="1:19" ht="16.3" x14ac:dyDescent="0.25">
      <c r="A7" s="3" t="s">
        <v>2</v>
      </c>
      <c r="C7" s="3" t="s">
        <v>13</v>
      </c>
      <c r="E7" s="3">
        <v>516</v>
      </c>
      <c r="F7" s="4" t="str">
        <f t="shared" si="0"/>
        <v>0x204</v>
      </c>
      <c r="G7" s="3" t="str">
        <f t="shared" si="1"/>
        <v>0b1000000100</v>
      </c>
      <c r="H7" s="3">
        <v>187</v>
      </c>
      <c r="J7" s="3" t="s">
        <v>51</v>
      </c>
      <c r="L7" s="8" t="s">
        <v>14</v>
      </c>
      <c r="M7" s="5" t="s">
        <v>4</v>
      </c>
      <c r="N7" s="6" t="s">
        <v>5</v>
      </c>
      <c r="O7" s="6" t="s">
        <v>5</v>
      </c>
      <c r="P7" s="5" t="s">
        <v>4</v>
      </c>
      <c r="R7" s="7">
        <v>7</v>
      </c>
      <c r="S7" s="7" t="s">
        <v>10</v>
      </c>
    </row>
    <row r="8" spans="1:19" ht="16.3" x14ac:dyDescent="0.25">
      <c r="A8" s="3" t="s">
        <v>2</v>
      </c>
      <c r="C8" s="3" t="s">
        <v>15</v>
      </c>
      <c r="E8" s="3">
        <v>517</v>
      </c>
      <c r="F8" s="4" t="str">
        <f t="shared" si="0"/>
        <v>0x205</v>
      </c>
      <c r="G8" s="3" t="str">
        <f t="shared" si="1"/>
        <v>0b1000000101</v>
      </c>
      <c r="H8" s="3">
        <v>188</v>
      </c>
      <c r="J8" s="3" t="s">
        <v>51</v>
      </c>
      <c r="L8" s="6" t="s">
        <v>12</v>
      </c>
      <c r="M8" s="6" t="s">
        <v>5</v>
      </c>
      <c r="N8" s="6" t="s">
        <v>5</v>
      </c>
      <c r="O8" s="6" t="s">
        <v>5</v>
      </c>
      <c r="P8" s="5" t="s">
        <v>4</v>
      </c>
      <c r="R8" s="7">
        <v>7</v>
      </c>
      <c r="S8" s="7" t="s">
        <v>10</v>
      </c>
    </row>
    <row r="9" spans="1:19" ht="16.3" x14ac:dyDescent="0.25">
      <c r="A9" s="3" t="s">
        <v>2</v>
      </c>
      <c r="C9" s="3" t="s">
        <v>16</v>
      </c>
      <c r="E9" s="3">
        <v>518</v>
      </c>
      <c r="F9" s="4" t="str">
        <f t="shared" si="0"/>
        <v>0x206</v>
      </c>
      <c r="G9" s="3" t="str">
        <f t="shared" si="1"/>
        <v>0b1000000110</v>
      </c>
      <c r="H9" s="3">
        <v>189</v>
      </c>
      <c r="J9" s="3" t="s">
        <v>51</v>
      </c>
      <c r="L9" s="8" t="s">
        <v>14</v>
      </c>
      <c r="M9" s="6" t="s">
        <v>5</v>
      </c>
      <c r="N9" s="6" t="s">
        <v>5</v>
      </c>
      <c r="O9" s="6" t="s">
        <v>5</v>
      </c>
      <c r="P9" s="5" t="s">
        <v>4</v>
      </c>
      <c r="R9" s="7">
        <v>7</v>
      </c>
      <c r="S9" s="7" t="s">
        <v>10</v>
      </c>
    </row>
    <row r="10" spans="1:19" ht="16.3" x14ac:dyDescent="0.25">
      <c r="A10" s="3" t="s">
        <v>2</v>
      </c>
      <c r="C10" s="3" t="s">
        <v>17</v>
      </c>
      <c r="E10" s="3">
        <v>519</v>
      </c>
      <c r="F10" s="4" t="str">
        <f t="shared" si="0"/>
        <v>0x207</v>
      </c>
      <c r="G10" s="3" t="str">
        <f t="shared" si="1"/>
        <v>0b1000000111</v>
      </c>
      <c r="H10" s="3">
        <v>114</v>
      </c>
      <c r="J10" s="3" t="s">
        <v>51</v>
      </c>
      <c r="L10" s="5" t="s">
        <v>4</v>
      </c>
      <c r="M10" s="5" t="s">
        <v>4</v>
      </c>
      <c r="N10" s="6" t="s">
        <v>5</v>
      </c>
      <c r="O10" s="6" t="s">
        <v>5</v>
      </c>
      <c r="P10" s="6" t="s">
        <v>5</v>
      </c>
      <c r="R10" s="7">
        <v>10</v>
      </c>
      <c r="S10" s="7" t="s">
        <v>18</v>
      </c>
    </row>
    <row r="11" spans="1:19" ht="16.3" x14ac:dyDescent="0.25">
      <c r="A11" s="3" t="s">
        <v>2</v>
      </c>
      <c r="C11" s="3" t="s">
        <v>19</v>
      </c>
      <c r="E11" s="3">
        <v>520</v>
      </c>
      <c r="F11" s="4" t="str">
        <f t="shared" si="0"/>
        <v>0x208</v>
      </c>
      <c r="G11" s="3" t="str">
        <f t="shared" si="1"/>
        <v>0b1000001000</v>
      </c>
      <c r="H11" s="3">
        <v>115</v>
      </c>
      <c r="J11" s="3" t="s">
        <v>51</v>
      </c>
      <c r="L11" s="6" t="s">
        <v>12</v>
      </c>
      <c r="M11" s="5" t="s">
        <v>4</v>
      </c>
      <c r="N11" s="6" t="s">
        <v>5</v>
      </c>
      <c r="O11" s="6" t="s">
        <v>5</v>
      </c>
      <c r="P11" s="6" t="s">
        <v>5</v>
      </c>
      <c r="R11" s="7">
        <v>10</v>
      </c>
      <c r="S11" s="7" t="s">
        <v>18</v>
      </c>
    </row>
    <row r="12" spans="1:19" ht="16.3" x14ac:dyDescent="0.25">
      <c r="A12" s="3" t="s">
        <v>2</v>
      </c>
      <c r="C12" s="3" t="s">
        <v>20</v>
      </c>
      <c r="E12" s="3">
        <v>521</v>
      </c>
      <c r="F12" s="4" t="str">
        <f t="shared" si="0"/>
        <v>0x209</v>
      </c>
      <c r="G12" s="3" t="str">
        <f t="shared" si="1"/>
        <v>0b1000001001</v>
      </c>
      <c r="H12" s="3">
        <v>116</v>
      </c>
      <c r="J12" s="3" t="s">
        <v>51</v>
      </c>
      <c r="L12" s="8" t="s">
        <v>14</v>
      </c>
      <c r="M12" s="5" t="s">
        <v>4</v>
      </c>
      <c r="N12" s="6" t="s">
        <v>5</v>
      </c>
      <c r="O12" s="6" t="s">
        <v>5</v>
      </c>
      <c r="P12" s="6" t="s">
        <v>5</v>
      </c>
      <c r="R12" s="7">
        <v>10</v>
      </c>
      <c r="S12" s="7" t="s">
        <v>18</v>
      </c>
    </row>
    <row r="13" spans="1:19" ht="16.3" x14ac:dyDescent="0.25">
      <c r="A13" s="3" t="s">
        <v>2</v>
      </c>
      <c r="C13" s="3" t="s">
        <v>21</v>
      </c>
      <c r="E13" s="3">
        <v>522</v>
      </c>
      <c r="F13" s="4" t="str">
        <f t="shared" si="0"/>
        <v>0x20A</v>
      </c>
      <c r="G13" s="3" t="str">
        <f t="shared" si="1"/>
        <v>0b1000001010</v>
      </c>
      <c r="H13" s="3">
        <v>117</v>
      </c>
      <c r="J13" s="3" t="s">
        <v>51</v>
      </c>
      <c r="L13" s="6" t="s">
        <v>12</v>
      </c>
      <c r="M13" s="6" t="s">
        <v>5</v>
      </c>
      <c r="N13" s="6" t="s">
        <v>5</v>
      </c>
      <c r="O13" s="6" t="s">
        <v>5</v>
      </c>
      <c r="P13" s="6" t="s">
        <v>5</v>
      </c>
      <c r="R13" s="7">
        <v>10</v>
      </c>
      <c r="S13" s="7" t="s">
        <v>18</v>
      </c>
    </row>
    <row r="14" spans="1:19" ht="17" thickBot="1" x14ac:dyDescent="0.3">
      <c r="A14" s="9" t="s">
        <v>2</v>
      </c>
      <c r="B14" s="10"/>
      <c r="C14" s="9" t="s">
        <v>22</v>
      </c>
      <c r="D14" s="10"/>
      <c r="E14" s="9">
        <v>523</v>
      </c>
      <c r="F14" s="11" t="str">
        <f t="shared" si="0"/>
        <v>0x20B</v>
      </c>
      <c r="G14" s="9" t="str">
        <f t="shared" si="1"/>
        <v>0b1000001011</v>
      </c>
      <c r="H14" s="9">
        <v>118</v>
      </c>
      <c r="I14" s="10"/>
      <c r="J14" s="9" t="s">
        <v>51</v>
      </c>
      <c r="K14" s="10"/>
      <c r="L14" s="12" t="s">
        <v>14</v>
      </c>
      <c r="M14" s="13" t="s">
        <v>5</v>
      </c>
      <c r="N14" s="13" t="s">
        <v>5</v>
      </c>
      <c r="O14" s="13" t="s">
        <v>5</v>
      </c>
      <c r="P14" s="13" t="s">
        <v>5</v>
      </c>
      <c r="Q14" s="10"/>
      <c r="R14" s="14">
        <v>10</v>
      </c>
      <c r="S14" s="14" t="s">
        <v>18</v>
      </c>
    </row>
    <row r="15" spans="1:19" ht="16.3" x14ac:dyDescent="0.3">
      <c r="A15" s="15" t="s">
        <v>2</v>
      </c>
      <c r="B15" s="16"/>
      <c r="C15" s="15" t="s">
        <v>23</v>
      </c>
      <c r="D15" s="16"/>
      <c r="E15" s="15">
        <v>524</v>
      </c>
      <c r="F15" s="17" t="str">
        <f t="shared" si="0"/>
        <v>0x20C</v>
      </c>
      <c r="G15" s="15" t="str">
        <f t="shared" si="1"/>
        <v>0b1000001100</v>
      </c>
      <c r="H15" s="15">
        <v>201</v>
      </c>
      <c r="I15" s="16"/>
      <c r="J15" s="18" t="s">
        <v>50</v>
      </c>
      <c r="L15" s="19" t="s">
        <v>12</v>
      </c>
      <c r="M15" s="20" t="s">
        <v>4</v>
      </c>
      <c r="N15" s="19" t="s">
        <v>5</v>
      </c>
      <c r="O15" s="20" t="s">
        <v>4</v>
      </c>
      <c r="P15" s="20" t="s">
        <v>4</v>
      </c>
      <c r="R15" s="21">
        <v>2</v>
      </c>
      <c r="S15" s="21" t="s">
        <v>6</v>
      </c>
    </row>
    <row r="16" spans="1:19" ht="16.3" x14ac:dyDescent="0.3">
      <c r="A16" s="22" t="s">
        <v>2</v>
      </c>
      <c r="B16" s="16"/>
      <c r="C16" s="22" t="s">
        <v>24</v>
      </c>
      <c r="D16" s="16"/>
      <c r="E16" s="22">
        <v>525</v>
      </c>
      <c r="F16" s="23" t="str">
        <f t="shared" si="0"/>
        <v>0x20D</v>
      </c>
      <c r="G16" s="22" t="str">
        <f t="shared" si="1"/>
        <v>0b1000001101</v>
      </c>
      <c r="H16" s="22">
        <v>202</v>
      </c>
      <c r="I16" s="16"/>
      <c r="J16" s="18" t="s">
        <v>50</v>
      </c>
      <c r="L16" s="8" t="s">
        <v>14</v>
      </c>
      <c r="M16" s="5" t="s">
        <v>4</v>
      </c>
      <c r="N16" s="6" t="s">
        <v>5</v>
      </c>
      <c r="O16" s="5" t="s">
        <v>4</v>
      </c>
      <c r="P16" s="5" t="s">
        <v>4</v>
      </c>
      <c r="R16" s="7">
        <v>2</v>
      </c>
      <c r="S16" s="7" t="s">
        <v>6</v>
      </c>
    </row>
    <row r="17" spans="1:19" ht="16.3" x14ac:dyDescent="0.3">
      <c r="A17" s="22" t="s">
        <v>2</v>
      </c>
      <c r="B17" s="16"/>
      <c r="C17" s="22" t="s">
        <v>25</v>
      </c>
      <c r="D17" s="16"/>
      <c r="E17" s="22">
        <v>526</v>
      </c>
      <c r="F17" s="23" t="str">
        <f t="shared" si="0"/>
        <v>0x20E</v>
      </c>
      <c r="G17" s="22" t="str">
        <f t="shared" si="1"/>
        <v>0b1000001110</v>
      </c>
      <c r="H17" s="22">
        <v>203</v>
      </c>
      <c r="I17" s="16"/>
      <c r="J17" s="18" t="s">
        <v>50</v>
      </c>
      <c r="L17" s="6" t="s">
        <v>12</v>
      </c>
      <c r="M17" s="6" t="s">
        <v>5</v>
      </c>
      <c r="N17" s="6" t="s">
        <v>5</v>
      </c>
      <c r="O17" s="5" t="s">
        <v>4</v>
      </c>
      <c r="P17" s="5" t="s">
        <v>4</v>
      </c>
      <c r="R17" s="7">
        <v>2</v>
      </c>
      <c r="S17" s="7" t="s">
        <v>6</v>
      </c>
    </row>
    <row r="18" spans="1:19" ht="16.3" x14ac:dyDescent="0.3">
      <c r="A18" s="22" t="s">
        <v>2</v>
      </c>
      <c r="B18" s="16"/>
      <c r="C18" s="22" t="s">
        <v>26</v>
      </c>
      <c r="D18" s="16"/>
      <c r="E18" s="22">
        <v>527</v>
      </c>
      <c r="F18" s="23" t="str">
        <f t="shared" si="0"/>
        <v>0x20F</v>
      </c>
      <c r="G18" s="22" t="str">
        <f t="shared" si="1"/>
        <v>0b1000001111</v>
      </c>
      <c r="H18" s="22">
        <v>204</v>
      </c>
      <c r="I18" s="16"/>
      <c r="J18" s="18" t="s">
        <v>50</v>
      </c>
      <c r="L18" s="8" t="s">
        <v>14</v>
      </c>
      <c r="M18" s="6" t="s">
        <v>5</v>
      </c>
      <c r="N18" s="6" t="s">
        <v>5</v>
      </c>
      <c r="O18" s="5" t="s">
        <v>4</v>
      </c>
      <c r="P18" s="5" t="s">
        <v>4</v>
      </c>
      <c r="R18" s="7">
        <v>2</v>
      </c>
      <c r="S18" s="7" t="s">
        <v>6</v>
      </c>
    </row>
    <row r="19" spans="1:19" ht="16.3" x14ac:dyDescent="0.3">
      <c r="A19" s="22" t="s">
        <v>2</v>
      </c>
      <c r="B19" s="16"/>
      <c r="C19" s="22" t="s">
        <v>27</v>
      </c>
      <c r="D19" s="16"/>
      <c r="E19" s="22">
        <v>528</v>
      </c>
      <c r="F19" s="23" t="str">
        <f t="shared" si="0"/>
        <v>0x210</v>
      </c>
      <c r="G19" s="22" t="str">
        <f t="shared" si="1"/>
        <v>0b1000010000</v>
      </c>
      <c r="H19" s="22">
        <v>205</v>
      </c>
      <c r="I19" s="16"/>
      <c r="J19" s="18" t="s">
        <v>50</v>
      </c>
      <c r="L19" s="6" t="s">
        <v>12</v>
      </c>
      <c r="M19" s="5" t="s">
        <v>4</v>
      </c>
      <c r="N19" s="5" t="s">
        <v>4</v>
      </c>
      <c r="O19" s="6" t="s">
        <v>5</v>
      </c>
      <c r="P19" s="5" t="s">
        <v>4</v>
      </c>
      <c r="R19" s="7">
        <v>4</v>
      </c>
      <c r="S19" s="7" t="s">
        <v>8</v>
      </c>
    </row>
    <row r="20" spans="1:19" ht="16.3" x14ac:dyDescent="0.3">
      <c r="A20" s="22" t="s">
        <v>2</v>
      </c>
      <c r="B20" s="16"/>
      <c r="C20" s="22" t="s">
        <v>28</v>
      </c>
      <c r="D20" s="16"/>
      <c r="E20" s="22">
        <v>529</v>
      </c>
      <c r="F20" s="23" t="str">
        <f t="shared" si="0"/>
        <v>0x211</v>
      </c>
      <c r="G20" s="22" t="str">
        <f t="shared" si="1"/>
        <v>0b1000010001</v>
      </c>
      <c r="H20" s="22">
        <v>206</v>
      </c>
      <c r="I20" s="16"/>
      <c r="J20" s="18" t="s">
        <v>50</v>
      </c>
      <c r="L20" s="8" t="s">
        <v>14</v>
      </c>
      <c r="M20" s="5" t="s">
        <v>4</v>
      </c>
      <c r="N20" s="5" t="s">
        <v>4</v>
      </c>
      <c r="O20" s="6" t="s">
        <v>5</v>
      </c>
      <c r="P20" s="5" t="s">
        <v>4</v>
      </c>
      <c r="R20" s="7">
        <v>4</v>
      </c>
      <c r="S20" s="7" t="s">
        <v>8</v>
      </c>
    </row>
    <row r="21" spans="1:19" ht="16.3" x14ac:dyDescent="0.3">
      <c r="A21" s="22" t="s">
        <v>2</v>
      </c>
      <c r="B21" s="16"/>
      <c r="C21" s="22" t="s">
        <v>29</v>
      </c>
      <c r="D21" s="16"/>
      <c r="E21" s="22">
        <v>530</v>
      </c>
      <c r="F21" s="23" t="str">
        <f t="shared" si="0"/>
        <v>0x212</v>
      </c>
      <c r="G21" s="22" t="str">
        <f t="shared" si="1"/>
        <v>0b1000010010</v>
      </c>
      <c r="H21" s="22">
        <v>207</v>
      </c>
      <c r="I21" s="16"/>
      <c r="J21" s="18" t="s">
        <v>50</v>
      </c>
      <c r="L21" s="6" t="s">
        <v>12</v>
      </c>
      <c r="M21" s="6" t="s">
        <v>5</v>
      </c>
      <c r="N21" s="5" t="s">
        <v>4</v>
      </c>
      <c r="O21" s="6" t="s">
        <v>5</v>
      </c>
      <c r="P21" s="5" t="s">
        <v>4</v>
      </c>
      <c r="R21" s="7">
        <v>4</v>
      </c>
      <c r="S21" s="7" t="s">
        <v>8</v>
      </c>
    </row>
    <row r="22" spans="1:19" ht="16.3" x14ac:dyDescent="0.3">
      <c r="A22" s="22" t="s">
        <v>2</v>
      </c>
      <c r="B22" s="16"/>
      <c r="C22" s="22" t="s">
        <v>30</v>
      </c>
      <c r="D22" s="16"/>
      <c r="E22" s="22">
        <v>531</v>
      </c>
      <c r="F22" s="23" t="str">
        <f t="shared" si="0"/>
        <v>0x213</v>
      </c>
      <c r="G22" s="22" t="str">
        <f t="shared" si="1"/>
        <v>0b1000010011</v>
      </c>
      <c r="H22" s="22">
        <v>208</v>
      </c>
      <c r="I22" s="16"/>
      <c r="J22" s="18" t="s">
        <v>50</v>
      </c>
      <c r="L22" s="8" t="s">
        <v>14</v>
      </c>
      <c r="M22" s="6" t="s">
        <v>5</v>
      </c>
      <c r="N22" s="5" t="s">
        <v>4</v>
      </c>
      <c r="O22" s="6" t="s">
        <v>5</v>
      </c>
      <c r="P22" s="5" t="s">
        <v>4</v>
      </c>
      <c r="R22" s="7">
        <v>4</v>
      </c>
      <c r="S22" s="7" t="s">
        <v>8</v>
      </c>
    </row>
    <row r="23" spans="1:19" ht="16.3" x14ac:dyDescent="0.3">
      <c r="A23" s="22" t="s">
        <v>2</v>
      </c>
      <c r="B23" s="16"/>
      <c r="C23" s="22" t="s">
        <v>31</v>
      </c>
      <c r="D23" s="16"/>
      <c r="E23" s="22">
        <v>608</v>
      </c>
      <c r="F23" s="23" t="str">
        <f t="shared" si="0"/>
        <v>0x260</v>
      </c>
      <c r="G23" s="22" t="str">
        <f t="shared" si="1"/>
        <v>0b1001100000</v>
      </c>
      <c r="H23" s="22">
        <v>209</v>
      </c>
      <c r="I23" s="16"/>
      <c r="J23" s="18" t="s">
        <v>50</v>
      </c>
      <c r="L23" s="6" t="s">
        <v>12</v>
      </c>
      <c r="M23" s="5" t="s">
        <v>4</v>
      </c>
      <c r="N23" s="5" t="s">
        <v>4</v>
      </c>
      <c r="O23" s="5" t="s">
        <v>4</v>
      </c>
      <c r="P23" s="5" t="s">
        <v>4</v>
      </c>
      <c r="R23" s="7">
        <v>0</v>
      </c>
      <c r="S23" s="7">
        <v>0</v>
      </c>
    </row>
    <row r="24" spans="1:19" ht="16.3" x14ac:dyDescent="0.3">
      <c r="A24" s="22" t="s">
        <v>2</v>
      </c>
      <c r="B24" s="16"/>
      <c r="C24" s="22" t="s">
        <v>32</v>
      </c>
      <c r="D24" s="16"/>
      <c r="E24" s="22">
        <v>609</v>
      </c>
      <c r="F24" s="23" t="str">
        <f t="shared" si="0"/>
        <v>0x261</v>
      </c>
      <c r="G24" s="22" t="str">
        <f t="shared" si="1"/>
        <v>0b1001100001</v>
      </c>
      <c r="H24" s="22">
        <v>210</v>
      </c>
      <c r="I24" s="16"/>
      <c r="J24" s="18" t="s">
        <v>50</v>
      </c>
      <c r="L24" s="5" t="s">
        <v>4</v>
      </c>
      <c r="M24" s="6" t="s">
        <v>5</v>
      </c>
      <c r="N24" s="5" t="s">
        <v>4</v>
      </c>
      <c r="O24" s="5" t="s">
        <v>4</v>
      </c>
      <c r="P24" s="5" t="s">
        <v>4</v>
      </c>
      <c r="R24" s="7">
        <v>0</v>
      </c>
      <c r="S24" s="7">
        <v>0</v>
      </c>
    </row>
    <row r="25" spans="1:19" ht="16.3" x14ac:dyDescent="0.3">
      <c r="A25" s="22" t="s">
        <v>2</v>
      </c>
      <c r="B25" s="16"/>
      <c r="C25" s="22" t="s">
        <v>33</v>
      </c>
      <c r="D25" s="16"/>
      <c r="E25" s="22">
        <v>610</v>
      </c>
      <c r="F25" s="23" t="str">
        <f t="shared" si="0"/>
        <v>0x262</v>
      </c>
      <c r="G25" s="22" t="str">
        <f t="shared" si="1"/>
        <v>0b1001100010</v>
      </c>
      <c r="H25" s="22">
        <v>211</v>
      </c>
      <c r="I25" s="16"/>
      <c r="J25" s="18" t="s">
        <v>50</v>
      </c>
      <c r="L25" s="6" t="s">
        <v>12</v>
      </c>
      <c r="M25" s="6" t="s">
        <v>5</v>
      </c>
      <c r="N25" s="5" t="s">
        <v>4</v>
      </c>
      <c r="O25" s="5" t="s">
        <v>4</v>
      </c>
      <c r="P25" s="5" t="s">
        <v>4</v>
      </c>
      <c r="R25" s="7">
        <v>0</v>
      </c>
      <c r="S25" s="7">
        <v>0</v>
      </c>
    </row>
    <row r="26" spans="1:19" ht="16.3" x14ac:dyDescent="0.3">
      <c r="A26" s="22" t="s">
        <v>2</v>
      </c>
      <c r="B26" s="16"/>
      <c r="C26" s="22" t="s">
        <v>34</v>
      </c>
      <c r="D26" s="16"/>
      <c r="E26" s="22">
        <v>611</v>
      </c>
      <c r="F26" s="23" t="str">
        <f t="shared" si="0"/>
        <v>0x263</v>
      </c>
      <c r="G26" s="22" t="str">
        <f t="shared" si="1"/>
        <v>0b1001100011</v>
      </c>
      <c r="H26" s="22">
        <v>212</v>
      </c>
      <c r="I26" s="16"/>
      <c r="J26" s="18" t="s">
        <v>50</v>
      </c>
      <c r="L26" s="8" t="s">
        <v>14</v>
      </c>
      <c r="M26" s="5" t="s">
        <v>4</v>
      </c>
      <c r="N26" s="5" t="s">
        <v>4</v>
      </c>
      <c r="O26" s="5" t="s">
        <v>4</v>
      </c>
      <c r="P26" s="5" t="s">
        <v>4</v>
      </c>
      <c r="R26" s="7">
        <v>0</v>
      </c>
      <c r="S26" s="7">
        <v>0</v>
      </c>
    </row>
    <row r="27" spans="1:19" ht="16.3" x14ac:dyDescent="0.3">
      <c r="A27" s="22" t="s">
        <v>2</v>
      </c>
      <c r="B27" s="16"/>
      <c r="C27" s="22" t="s">
        <v>35</v>
      </c>
      <c r="D27" s="16"/>
      <c r="E27" s="22">
        <v>612</v>
      </c>
      <c r="F27" s="23" t="str">
        <f t="shared" si="0"/>
        <v>0x264</v>
      </c>
      <c r="G27" s="22" t="str">
        <f t="shared" si="1"/>
        <v>0b1001100100</v>
      </c>
      <c r="H27" s="22">
        <v>213</v>
      </c>
      <c r="I27" s="16"/>
      <c r="J27" s="18" t="s">
        <v>50</v>
      </c>
      <c r="L27" s="8" t="s">
        <v>14</v>
      </c>
      <c r="M27" s="6" t="s">
        <v>5</v>
      </c>
      <c r="N27" s="5" t="s">
        <v>4</v>
      </c>
      <c r="O27" s="5" t="s">
        <v>4</v>
      </c>
      <c r="P27" s="5" t="s">
        <v>4</v>
      </c>
      <c r="R27" s="7">
        <v>0</v>
      </c>
      <c r="S27" s="7">
        <v>0</v>
      </c>
    </row>
    <row r="29" spans="1:19" x14ac:dyDescent="0.25">
      <c r="A29" t="s">
        <v>36</v>
      </c>
    </row>
    <row r="30" spans="1:19" x14ac:dyDescent="0.25">
      <c r="A30" t="s">
        <v>37</v>
      </c>
    </row>
    <row r="31" spans="1:19" x14ac:dyDescent="0.25">
      <c r="A31" t="s">
        <v>38</v>
      </c>
    </row>
    <row r="33" spans="1:1" x14ac:dyDescent="0.25">
      <c r="A33" t="s">
        <v>39</v>
      </c>
    </row>
  </sheetData>
  <mergeCells count="11">
    <mergeCell ref="M1:M2"/>
    <mergeCell ref="E1:H1"/>
    <mergeCell ref="C1:C2"/>
    <mergeCell ref="A1:A2"/>
    <mergeCell ref="J1:J2"/>
    <mergeCell ref="L1:L2"/>
    <mergeCell ref="N1:N2"/>
    <mergeCell ref="O1:O2"/>
    <mergeCell ref="P1:P2"/>
    <mergeCell ref="R1:R2"/>
    <mergeCell ref="S1:S2"/>
  </mergeCells>
  <pageMargins left="0.7" right="0.7" top="0.75" bottom="0.75" header="0.3" footer="0.3"/>
  <pageSetup paperSize="9" scale="7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Bartleet</dc:creator>
  <cp:lastModifiedBy>Jamie Bartleet</cp:lastModifiedBy>
  <cp:lastPrinted>2025-11-10T17:36:32Z</cp:lastPrinted>
  <dcterms:created xsi:type="dcterms:W3CDTF">2025-11-10T09:21:31Z</dcterms:created>
  <dcterms:modified xsi:type="dcterms:W3CDTF">2025-11-18T16:43:52Z</dcterms:modified>
</cp:coreProperties>
</file>